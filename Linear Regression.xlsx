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oblenz\Study\MLDM\Final_Exam\"/>
    </mc:Choice>
  </mc:AlternateContent>
  <xr:revisionPtr revIDLastSave="0" documentId="13_ncr:1_{0ACAFA24-F5D4-4236-872A-C7088B241DE7}" xr6:coauthVersionLast="46" xr6:coauthVersionMax="46" xr10:uidLastSave="{00000000-0000-0000-0000-000000000000}"/>
  <bookViews>
    <workbookView xWindow="-120" yWindow="-120" windowWidth="20730" windowHeight="11160" xr2:uid="{29F39904-D420-47C1-BB62-F917334D06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5" i="1" l="1"/>
  <c r="I35" i="1"/>
  <c r="J34" i="1"/>
  <c r="I34" i="1"/>
  <c r="G3" i="1" a="1"/>
  <c r="G3" i="1" s="1"/>
  <c r="G30" i="1" l="1" a="1"/>
  <c r="G30" i="1" s="1"/>
  <c r="G26" i="1" a="1"/>
  <c r="G26" i="1" s="1"/>
  <c r="K26" i="1" s="1" a="1"/>
  <c r="K26" i="1" s="1"/>
  <c r="G34" i="1" l="1" a="1"/>
  <c r="O26" i="1" a="1"/>
  <c r="O26" i="1" s="1"/>
  <c r="L35" i="1" l="1"/>
  <c r="G34" i="1"/>
  <c r="K35" i="1"/>
  <c r="G47" i="1" l="1" a="1"/>
  <c r="G47" i="1" s="1"/>
  <c r="J47" i="1" s="1"/>
  <c r="G48" i="1" a="1"/>
  <c r="G48" i="1" s="1"/>
  <c r="J48" i="1" s="1"/>
  <c r="L34" i="1"/>
  <c r="G49" i="1" a="1"/>
  <c r="G49" i="1" s="1"/>
  <c r="J49" i="1" s="1"/>
  <c r="K3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<sst xmlns="http://schemas.openxmlformats.org/spreadsheetml/2006/main" count="14" uniqueCount="14">
  <si>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Example - Demo Exam</t>
  </si>
  <si>
    <t>X tilde</t>
  </si>
  <si>
    <t>X-Transpose Tilde</t>
  </si>
  <si>
    <t>Y</t>
  </si>
  <si>
    <t xml:space="preserve"> X(T)-tilde*X-tilde</t>
  </si>
  <si>
    <t>Inverse</t>
  </si>
  <si>
    <t>In number</t>
  </si>
  <si>
    <t>X(T)-tilde*Y</t>
  </si>
  <si>
    <t>Inverse*[X(T)-tilde*Y]</t>
  </si>
  <si>
    <t>tnew</t>
  </si>
  <si>
    <t>y</t>
  </si>
  <si>
    <t>Predicted</t>
  </si>
  <si>
    <t>Original Output</t>
  </si>
  <si>
    <t>Sq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</si>
</sst>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00"/>
  </numFmts>
  <fonts count="5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7"/>
      <color rgb="FF333333"/>
      <name val="MathJax_Main"/>
    </font>
    <font>
      <sz val="14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  <xf numFmtId="164" fontId="0" fillId="0" borderId="0" xfId="0" applyNumberFormat="1"/>
    <xf numFmtId="0" fontId="0" fillId="4" borderId="1" xfId="0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F339-1EBE-4428-8719-5C941BFA84AA}">
  <dimension ref="A1:Z49"/>
  <sheetViews>
    <sheetView tabSelected="1" topLeftCell="A37" workbookViewId="0">
      <selection activeCell="N48" sqref="N48"/>
    </sheetView>
  </sheetViews>
  <sheetFormatPr defaultRowHeight="15"/>
  <cols>
    <col min="15" max="16" width="13.42578125" bestFit="1" customWidth="1"/>
  </cols>
  <sheetData>
    <row r="1" spans="1:26">
      <c r="A1" s="1" t="s">
        <v>0</v>
      </c>
    </row>
    <row r="3" spans="1:26">
      <c r="B3" t="s">
        <v>1</v>
      </c>
      <c r="C3" s="2">
        <v>440</v>
      </c>
      <c r="D3" s="2">
        <v>1</v>
      </c>
      <c r="F3" t="s">
        <v>2</v>
      </c>
      <c r="G3" cm="1">
        <f t="array" ref="G3:Z4">TRANSPOSE(C3:D22)</f>
        <v>440</v>
      </c>
      <c r="H3">
        <v>448</v>
      </c>
      <c r="I3">
        <v>6205</v>
      </c>
      <c r="J3">
        <v>4850</v>
      </c>
      <c r="K3">
        <v>1420</v>
      </c>
      <c r="L3">
        <v>16500</v>
      </c>
      <c r="M3">
        <v>1776</v>
      </c>
      <c r="N3">
        <v>6989</v>
      </c>
      <c r="O3">
        <v>2040</v>
      </c>
      <c r="P3">
        <v>9356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C4" s="2">
        <v>448</v>
      </c>
      <c r="D4" s="2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C5" s="2">
        <v>6205</v>
      </c>
      <c r="D5" s="2">
        <v>1</v>
      </c>
    </row>
    <row r="6" spans="1:26">
      <c r="C6" s="2">
        <v>4850</v>
      </c>
      <c r="D6" s="2">
        <v>1</v>
      </c>
    </row>
    <row r="7" spans="1:26">
      <c r="C7" s="2">
        <v>1420</v>
      </c>
      <c r="D7" s="2">
        <v>1</v>
      </c>
    </row>
    <row r="8" spans="1:26">
      <c r="C8" s="2">
        <v>16500</v>
      </c>
      <c r="D8" s="2">
        <v>1</v>
      </c>
    </row>
    <row r="9" spans="1:26">
      <c r="C9" s="2">
        <v>1776</v>
      </c>
      <c r="D9" s="2">
        <v>1</v>
      </c>
    </row>
    <row r="10" spans="1:26">
      <c r="C10" s="2">
        <v>6989</v>
      </c>
      <c r="D10" s="2">
        <v>1</v>
      </c>
    </row>
    <row r="11" spans="1:26">
      <c r="C11" s="2">
        <v>2040</v>
      </c>
      <c r="D11" s="2">
        <v>1</v>
      </c>
    </row>
    <row r="12" spans="1:26">
      <c r="C12" s="2">
        <v>9356</v>
      </c>
      <c r="D12" s="2">
        <v>1</v>
      </c>
    </row>
    <row r="13" spans="1:26">
      <c r="C13" s="2">
        <v>0</v>
      </c>
      <c r="D13" s="2">
        <v>0</v>
      </c>
    </row>
    <row r="14" spans="1:26">
      <c r="C14" s="2">
        <v>0</v>
      </c>
      <c r="D14" s="2">
        <v>0</v>
      </c>
    </row>
    <row r="15" spans="1:26">
      <c r="C15" s="2">
        <v>0</v>
      </c>
      <c r="D15" s="2">
        <v>0</v>
      </c>
    </row>
    <row r="16" spans="1:26">
      <c r="C16" s="2">
        <v>0</v>
      </c>
      <c r="D16" s="2">
        <v>0</v>
      </c>
    </row>
    <row r="17" spans="2:16">
      <c r="C17" s="2">
        <v>0</v>
      </c>
      <c r="D17" s="2">
        <v>0</v>
      </c>
    </row>
    <row r="18" spans="2:16">
      <c r="C18" s="2">
        <v>0</v>
      </c>
      <c r="D18" s="2">
        <v>0</v>
      </c>
    </row>
    <row r="19" spans="2:16">
      <c r="C19" s="2">
        <v>0</v>
      </c>
      <c r="D19" s="2">
        <v>0</v>
      </c>
    </row>
    <row r="20" spans="2:16">
      <c r="C20" s="2">
        <v>0</v>
      </c>
      <c r="D20" s="2">
        <v>0</v>
      </c>
    </row>
    <row r="21" spans="2:16">
      <c r="C21" s="2">
        <v>0</v>
      </c>
      <c r="D21" s="2">
        <v>0</v>
      </c>
    </row>
    <row r="22" spans="2:16">
      <c r="C22" s="2">
        <v>0</v>
      </c>
      <c r="D22" s="2">
        <v>0</v>
      </c>
    </row>
    <row r="26" spans="2:16">
      <c r="B26" t="s">
        <v>3</v>
      </c>
      <c r="C26" s="3">
        <v>123</v>
      </c>
      <c r="F26" t="s">
        <v>4</v>
      </c>
      <c r="G26" s="4" cm="1">
        <f t="array" ref="G26:H27">MMULT(_xlfn.ANCHORARRAY(G3),C3:D22)</f>
        <v>480381862</v>
      </c>
      <c r="H26" s="4">
        <v>50024</v>
      </c>
      <c r="J26" t="s">
        <v>5</v>
      </c>
      <c r="K26" s="4" cm="1">
        <f t="array" ref="K26:L27">MINVERSE(_xlfn.ANCHORARRAY(G26))</f>
        <v>4.3451471261689646E-9</v>
      </c>
      <c r="L26" s="4">
        <v>-2.1736163983947626E-5</v>
      </c>
      <c r="N26" t="s">
        <v>6</v>
      </c>
      <c r="O26" s="5" cm="1">
        <f t="array" ref="O26:P27">_xlfn.ANCHORARRAY(K26)</f>
        <v>4.3451471261689646E-9</v>
      </c>
      <c r="P26" s="5">
        <v>-2.1736163983947626E-5</v>
      </c>
    </row>
    <row r="27" spans="2:16">
      <c r="C27" s="3">
        <v>137</v>
      </c>
      <c r="G27" s="4">
        <v>50024</v>
      </c>
      <c r="H27" s="4">
        <v>10</v>
      </c>
      <c r="K27" s="4">
        <v>-2.1736163983947626E-5</v>
      </c>
      <c r="L27" s="4">
        <v>0.2087329867132996</v>
      </c>
      <c r="O27" s="5">
        <v>-2.1736163983947626E-5</v>
      </c>
      <c r="P27" s="5">
        <v>0.2087329867132996</v>
      </c>
    </row>
    <row r="28" spans="2:16">
      <c r="C28" s="3">
        <v>409</v>
      </c>
    </row>
    <row r="29" spans="2:16">
      <c r="C29" s="3">
        <v>459</v>
      </c>
    </row>
    <row r="30" spans="2:16">
      <c r="C30" s="3">
        <v>89</v>
      </c>
      <c r="F30" t="s">
        <v>7</v>
      </c>
      <c r="G30" cm="1">
        <f t="array" ref="G30:G31">MMULT(_xlfn.ANCHORARRAY(G3),C26:C45)</f>
        <v>33010827</v>
      </c>
    </row>
    <row r="31" spans="2:16">
      <c r="C31" s="3">
        <v>1067</v>
      </c>
      <c r="G31">
        <v>3870</v>
      </c>
    </row>
    <row r="32" spans="2:16">
      <c r="C32" s="3">
        <v>230</v>
      </c>
    </row>
    <row r="33" spans="2:12">
      <c r="C33" s="3">
        <v>496</v>
      </c>
    </row>
    <row r="34" spans="2:12">
      <c r="C34" s="3">
        <v>208</v>
      </c>
      <c r="F34" t="s">
        <v>8</v>
      </c>
      <c r="G34" s="6" cm="1">
        <f t="array" ref="G34:G35">MMULT(_xlfn.ANCHORARRAY(K26),_xlfn.ANCHORARRAY(G30))</f>
        <v>5.9317945453633544E-2</v>
      </c>
      <c r="I34">
        <f>POWER(10,-2)</f>
        <v>0.01</v>
      </c>
      <c r="J34">
        <f>POWER(10,1)</f>
        <v>10</v>
      </c>
      <c r="K34">
        <f>G34/I34</f>
        <v>5.9317945453633545</v>
      </c>
      <c r="L34">
        <f>G34/J34</f>
        <v>5.9317945453633541E-3</v>
      </c>
    </row>
    <row r="35" spans="2:12">
      <c r="C35" s="3">
        <v>652</v>
      </c>
      <c r="G35" s="6">
        <v>90.267909662743477</v>
      </c>
      <c r="I35">
        <f>POWER(10,1)</f>
        <v>10</v>
      </c>
      <c r="J35">
        <f>POWER(10,-2)</f>
        <v>0.01</v>
      </c>
      <c r="K35">
        <f>G35/I35</f>
        <v>9.0267909662743477</v>
      </c>
      <c r="L35">
        <f>G35/J35</f>
        <v>9026.7909662743477</v>
      </c>
    </row>
    <row r="36" spans="2:12">
      <c r="C36" s="3">
        <v>0</v>
      </c>
    </row>
    <row r="37" spans="2:12">
      <c r="C37" s="3">
        <v>0</v>
      </c>
    </row>
    <row r="38" spans="2:12">
      <c r="C38" s="3">
        <v>0</v>
      </c>
    </row>
    <row r="39" spans="2:12">
      <c r="C39" s="3">
        <v>0</v>
      </c>
    </row>
    <row r="40" spans="2:12">
      <c r="C40" s="3">
        <v>0</v>
      </c>
    </row>
    <row r="41" spans="2:12">
      <c r="C41" s="3">
        <v>0</v>
      </c>
    </row>
    <row r="42" spans="2:12">
      <c r="C42" s="3">
        <v>0</v>
      </c>
    </row>
    <row r="43" spans="2:12">
      <c r="C43" s="3">
        <v>0</v>
      </c>
    </row>
    <row r="44" spans="2:12">
      <c r="C44" s="3">
        <v>0</v>
      </c>
    </row>
    <row r="45" spans="2:12">
      <c r="C45" s="3">
        <v>0</v>
      </c>
    </row>
    <row r="46" spans="2:12">
      <c r="G46" t="s">
        <v>11</v>
      </c>
      <c r="H46" t="s">
        <v>12</v>
      </c>
      <c r="J46" t="s">
        <v>13</v>
      </c>
    </row>
    <row r="47" spans="2:12" ht="21.75">
      <c r="B47" t="s">
        <v>9</v>
      </c>
      <c r="C47" s="7">
        <v>1591</v>
      </c>
      <c r="D47">
        <v>1</v>
      </c>
      <c r="F47" t="s">
        <v>10</v>
      </c>
      <c r="G47" cm="1">
        <f t="array" ref="G47">MMULT(C47:D47,_xlfn.ANCHORARRAY(G34))</f>
        <v>184.64276087947445</v>
      </c>
      <c r="H47">
        <v>138</v>
      </c>
      <c r="J47">
        <f>POWER((G47-H47),2)</f>
        <v>2175.5471424598322</v>
      </c>
    </row>
    <row r="48" spans="2:12" ht="18">
      <c r="C48" s="8">
        <v>440</v>
      </c>
      <c r="D48">
        <v>1</v>
      </c>
      <c r="G48" cm="1">
        <f t="array" ref="G48">MMULT(C48:D48,_xlfn.ANCHORARRAY(G34))</f>
        <v>116.36780566234223</v>
      </c>
      <c r="H48" s="8">
        <v>123</v>
      </c>
      <c r="J48">
        <f t="shared" ref="J48:J49" si="0">POWER((G48-H48),2)</f>
        <v>43.986001732459719</v>
      </c>
    </row>
    <row r="49" spans="3:10" ht="18">
      <c r="C49">
        <v>2040</v>
      </c>
      <c r="D49">
        <v>1</v>
      </c>
      <c r="G49" cm="1">
        <f t="array" ref="G49">MMULT(C49:D49,_xlfn.ANCHORARRAY(G34))</f>
        <v>211.27651838815592</v>
      </c>
      <c r="H49" s="8">
        <v>208</v>
      </c>
      <c r="J49">
        <f t="shared" si="0"/>
        <v>10.735572747923875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</dc:creator>
  <cp:lastModifiedBy>Priya</cp:lastModifiedBy>
  <dcterms:created xsi:type="dcterms:W3CDTF">2021-04-12T23:28:39Z</dcterms:created>
  <dcterms:modified xsi:type="dcterms:W3CDTF">2021-04-12T23:46:32Z</dcterms:modified>
</cp:coreProperties>
</file>